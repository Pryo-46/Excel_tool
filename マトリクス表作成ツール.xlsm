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su\Downloads\新しいフォルダー\"/>
    </mc:Choice>
  </mc:AlternateContent>
  <xr:revisionPtr revIDLastSave="0" documentId="13_ncr:1_{22B4C8CE-0F05-492C-A6C3-033420DB8830}" xr6:coauthVersionLast="47" xr6:coauthVersionMax="47" xr10:uidLastSave="{00000000-0000-0000-0000-000000000000}"/>
  <bookViews>
    <workbookView xWindow="-108" yWindow="-108" windowWidth="23256" windowHeight="12456" xr2:uid="{A02A468F-3DC1-44F6-98ED-25A371550051}"/>
  </bookViews>
  <sheets>
    <sheet name="使い方" sheetId="42" r:id="rId1"/>
    <sheet name="HOME" sheetId="2" r:id="rId2"/>
    <sheet name="HOME (サンプル)" sheetId="40" r:id="rId3"/>
    <sheet name="マトリクス （作成後サンプル）" sheetId="44" r:id="rId4"/>
    <sheet name="マトリクス_雛形" sheetId="1" r:id="rId5"/>
  </sheets>
  <functionGroups builtInGroupCount="19"/>
  <definedNames>
    <definedName name="_xlnm._FilterDatabase" localSheetId="3" hidden="1">'マトリクス （作成後サンプル）'!$B$3:$F$21</definedName>
    <definedName name="項目1" localSheetId="1">HOME!$C$7:$L$7</definedName>
    <definedName name="項目10">HOME!$C$16:$L$16</definedName>
    <definedName name="項目11">HOME!$C$17:$L$17</definedName>
    <definedName name="項目12">HOME!$C$18:$L$18</definedName>
    <definedName name="項目13">HOME!$C$19:$L$19</definedName>
    <definedName name="項目14">HOME!$C$20:$L$20</definedName>
    <definedName name="項目15">HOME!$C$21:$L$21</definedName>
    <definedName name="項目16">HOME!$C$22:$L$22</definedName>
    <definedName name="項目17">HOME!$C$23:$L$23</definedName>
    <definedName name="項目18">HOME!$C$24:$L$24</definedName>
    <definedName name="項目19">HOME!$C$25:$L$25</definedName>
    <definedName name="項目2">HOME!$C$8:$L$8</definedName>
    <definedName name="項目20">HOME!$C$26:$L$26</definedName>
    <definedName name="項目21">HOME!$C$27:$L$27</definedName>
    <definedName name="項目22">HOME!$C$28:$L$28</definedName>
    <definedName name="項目23">HOME!$C$29:$L$29</definedName>
    <definedName name="項目24">HOME!$C$30:$L$30</definedName>
    <definedName name="項目25">HOME!$C$31:$L$31</definedName>
    <definedName name="項目26">HOME!$C$32:$L$32</definedName>
    <definedName name="項目27">HOME!$C$33:$L$33</definedName>
    <definedName name="項目28">HOME!$C$34:$L$34</definedName>
    <definedName name="項目29">HOME!$C$35:$L$35</definedName>
    <definedName name="項目3">HOME!$C$9:$L$9</definedName>
    <definedName name="項目30">HOME!$C$36:$L$36</definedName>
    <definedName name="項目4">HOME!$C$10:$L$10</definedName>
    <definedName name="項目5">HOME!$C$11:$L$11</definedName>
    <definedName name="項目6">HOME!$C$12:$L$12</definedName>
    <definedName name="項目7">HOME!$C$13:$L$13</definedName>
    <definedName name="項目8">HOME!$C$14:$L$14</definedName>
    <definedName name="項目9">HOME!$C$15:$L$15</definedName>
    <definedName name="数値">HOME!$D$7:$L$7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44" l="1"/>
  <c r="N13" i="2"/>
  <c r="N15" i="2"/>
  <c r="N9" i="2"/>
  <c r="N7" i="2"/>
  <c r="N10" i="2"/>
  <c r="N8" i="2"/>
  <c r="N17" i="2"/>
  <c r="N12" i="2"/>
  <c r="N11" i="2"/>
  <c r="N14" i="2"/>
  <c r="N16" i="2"/>
  <c r="N36" i="40"/>
  <c r="P36" i="40"/>
  <c r="N35" i="40"/>
  <c r="P35" i="40"/>
  <c r="N34" i="40"/>
  <c r="O34" i="40"/>
  <c r="P34" i="40"/>
  <c r="N33" i="40"/>
  <c r="P33" i="40"/>
  <c r="O33" i="40"/>
  <c r="N32" i="40"/>
  <c r="P32" i="40"/>
  <c r="O32" i="40"/>
  <c r="N31" i="40"/>
  <c r="P31" i="40"/>
  <c r="O31" i="40"/>
  <c r="N30" i="40"/>
  <c r="P30" i="40"/>
  <c r="N29" i="40"/>
  <c r="P29" i="40"/>
  <c r="N28" i="40"/>
  <c r="P28" i="40"/>
  <c r="O28" i="40"/>
  <c r="N27" i="40"/>
  <c r="P27" i="40"/>
  <c r="N26" i="40"/>
  <c r="O26" i="40"/>
  <c r="P26" i="40"/>
  <c r="N25" i="40"/>
  <c r="P25" i="40"/>
  <c r="O25" i="40"/>
  <c r="N24" i="40"/>
  <c r="P24" i="40"/>
  <c r="O24" i="40"/>
  <c r="N23" i="40"/>
  <c r="P23" i="40"/>
  <c r="O23" i="40"/>
  <c r="N22" i="40"/>
  <c r="P22" i="40"/>
  <c r="N21" i="40"/>
  <c r="P21" i="40"/>
  <c r="N20" i="40"/>
  <c r="P20" i="40"/>
  <c r="O20" i="40"/>
  <c r="N19" i="40"/>
  <c r="P19" i="40"/>
  <c r="N18" i="40"/>
  <c r="O18" i="40"/>
  <c r="P18" i="40"/>
  <c r="N17" i="40"/>
  <c r="P17" i="40"/>
  <c r="O17" i="40"/>
  <c r="N16" i="40"/>
  <c r="P16" i="40"/>
  <c r="O16" i="40"/>
  <c r="N15" i="40"/>
  <c r="P15" i="40"/>
  <c r="O15" i="40"/>
  <c r="N14" i="40"/>
  <c r="P14" i="40"/>
  <c r="N13" i="40"/>
  <c r="N12" i="40"/>
  <c r="P12" i="40"/>
  <c r="O12" i="40"/>
  <c r="N11" i="40"/>
  <c r="N7" i="40"/>
  <c r="N8" i="40"/>
  <c r="N9" i="40"/>
  <c r="O7" i="40"/>
  <c r="N10" i="40"/>
  <c r="R7" i="40"/>
  <c r="Q7" i="40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O36" i="2"/>
  <c r="O9" i="40"/>
  <c r="P9" i="40"/>
  <c r="E1" i="40"/>
  <c r="O10" i="40"/>
  <c r="O8" i="40"/>
  <c r="O28" i="2"/>
  <c r="O20" i="2"/>
  <c r="O35" i="2"/>
  <c r="O27" i="2"/>
  <c r="O34" i="2"/>
  <c r="O32" i="2"/>
  <c r="O24" i="2"/>
  <c r="O16" i="2"/>
  <c r="O31" i="2"/>
  <c r="O23" i="2"/>
  <c r="O15" i="2"/>
  <c r="O14" i="2"/>
  <c r="P10" i="40"/>
  <c r="O13" i="40"/>
  <c r="O21" i="40"/>
  <c r="O29" i="40"/>
  <c r="P8" i="40"/>
  <c r="O11" i="40"/>
  <c r="O19" i="40"/>
  <c r="O27" i="40"/>
  <c r="O35" i="40"/>
  <c r="P11" i="40"/>
  <c r="O14" i="40"/>
  <c r="O22" i="40"/>
  <c r="O30" i="40"/>
  <c r="P13" i="40"/>
  <c r="P7" i="40"/>
  <c r="O36" i="40"/>
  <c r="O26" i="2"/>
  <c r="O19" i="2"/>
  <c r="O18" i="2"/>
  <c r="O12" i="2"/>
  <c r="O33" i="2"/>
  <c r="O25" i="2"/>
  <c r="O17" i="2"/>
  <c r="O30" i="2"/>
  <c r="O22" i="2"/>
  <c r="O29" i="2"/>
  <c r="O21" i="2"/>
  <c r="O13" i="2"/>
  <c r="O11" i="2"/>
  <c r="O9" i="2"/>
  <c r="O7" i="2"/>
  <c r="O8" i="2"/>
  <c r="O10" i="2"/>
  <c r="Q7" i="2"/>
  <c r="R7" i="2"/>
  <c r="P17" i="2"/>
  <c r="P22" i="2"/>
  <c r="P23" i="2"/>
  <c r="P28" i="2"/>
  <c r="P36" i="2"/>
  <c r="P25" i="2"/>
  <c r="P19" i="2"/>
  <c r="P29" i="2"/>
  <c r="P20" i="2"/>
  <c r="P21" i="2"/>
  <c r="P35" i="2"/>
  <c r="P32" i="2"/>
  <c r="P33" i="2"/>
  <c r="P30" i="2"/>
  <c r="P26" i="2"/>
  <c r="P34" i="2"/>
  <c r="P24" i="2"/>
  <c r="P18" i="2"/>
  <c r="P27" i="2"/>
  <c r="P31" i="2"/>
  <c r="E1" i="2"/>
  <c r="P15" i="2"/>
  <c r="P16" i="2"/>
  <c r="P14" i="2"/>
  <c r="P12" i="2"/>
  <c r="P13" i="2"/>
  <c r="P8" i="2"/>
  <c r="P9" i="2"/>
  <c r="P10" i="2"/>
  <c r="P11" i="2"/>
  <c r="P7" i="2"/>
</calcChain>
</file>

<file path=xl/sharedStrings.xml><?xml version="1.0" encoding="utf-8"?>
<sst xmlns="http://schemas.openxmlformats.org/spreadsheetml/2006/main" count="142" uniqueCount="54">
  <si>
    <t>No</t>
    <phoneticPr fontId="1"/>
  </si>
  <si>
    <t>マトリクス総数</t>
    <rPh sb="5" eb="7">
      <t>ソウスウ</t>
    </rPh>
    <phoneticPr fontId="1"/>
  </si>
  <si>
    <t>件</t>
    <rPh sb="0" eb="1">
      <t>ケン</t>
    </rPh>
    <phoneticPr fontId="1"/>
  </si>
  <si>
    <t>マトリクス</t>
    <phoneticPr fontId="1"/>
  </si>
  <si>
    <t>処理用パラメータ</t>
    <rPh sb="0" eb="3">
      <t>ショリヨウ</t>
    </rPh>
    <phoneticPr fontId="1"/>
  </si>
  <si>
    <t>1セットの個数</t>
    <rPh sb="5" eb="7">
      <t>コスウ</t>
    </rPh>
    <phoneticPr fontId="1"/>
  </si>
  <si>
    <t>セットループ数</t>
    <rPh sb="6" eb="7">
      <t>スウ</t>
    </rPh>
    <phoneticPr fontId="1"/>
  </si>
  <si>
    <t>出力ループ数</t>
    <rPh sb="0" eb="2">
      <t>シュツリョク</t>
    </rPh>
    <rPh sb="5" eb="6">
      <t>スウ</t>
    </rPh>
    <phoneticPr fontId="1"/>
  </si>
  <si>
    <t>パターン配列（文字列）</t>
    <rPh sb="4" eb="6">
      <t>ハイレツ</t>
    </rPh>
    <rPh sb="7" eb="10">
      <t>モジレツ</t>
    </rPh>
    <phoneticPr fontId="1"/>
  </si>
  <si>
    <t>総件数</t>
    <rPh sb="0" eb="3">
      <t>ソウケンスウ</t>
    </rPh>
    <phoneticPr fontId="1"/>
  </si>
  <si>
    <t>期待結果</t>
  </si>
  <si>
    <t>項目/パターン</t>
    <rPh sb="0" eb="2">
      <t>コウモク</t>
    </rPh>
    <phoneticPr fontId="1"/>
  </si>
  <si>
    <t>100万件以上のマトリクスは作成できません。</t>
    <rPh sb="3" eb="4">
      <t>マン</t>
    </rPh>
    <rPh sb="4" eb="7">
      <t>ケンイジョウ</t>
    </rPh>
    <rPh sb="14" eb="16">
      <t>サクセイ</t>
    </rPh>
    <phoneticPr fontId="1"/>
  </si>
  <si>
    <t>作成に時間がかかる場合は、Excelを再起動すると早くなる場合があります。</t>
    <rPh sb="0" eb="2">
      <t>サクセイ</t>
    </rPh>
    <rPh sb="3" eb="5">
      <t>ジカン</t>
    </rPh>
    <rPh sb="9" eb="11">
      <t>バアイ</t>
    </rPh>
    <rPh sb="19" eb="22">
      <t>サイキドウ</t>
    </rPh>
    <rPh sb="25" eb="26">
      <t>ハヤ</t>
    </rPh>
    <rPh sb="29" eb="31">
      <t>バアイ</t>
    </rPh>
    <phoneticPr fontId="1"/>
  </si>
  <si>
    <t>パターン1</t>
    <phoneticPr fontId="1"/>
  </si>
  <si>
    <t>パターン2</t>
  </si>
  <si>
    <t>パターン3</t>
  </si>
  <si>
    <t>パターン4</t>
  </si>
  <si>
    <t>パターン5</t>
  </si>
  <si>
    <t>パターン6</t>
  </si>
  <si>
    <t>パターン7</t>
  </si>
  <si>
    <t>パターン8</t>
  </si>
  <si>
    <t>パターン9</t>
  </si>
  <si>
    <t>パターン10</t>
  </si>
  <si>
    <t>注意事項</t>
    <rPh sb="0" eb="2">
      <t>チュウイ</t>
    </rPh>
    <rPh sb="2" eb="4">
      <t>ジコウ</t>
    </rPh>
    <phoneticPr fontId="1"/>
  </si>
  <si>
    <t>はじめに</t>
    <phoneticPr fontId="1"/>
  </si>
  <si>
    <t>使い方</t>
    <rPh sb="0" eb="1">
      <t>ツカ</t>
    </rPh>
    <rPh sb="2" eb="3">
      <t>カタ</t>
    </rPh>
    <phoneticPr fontId="1"/>
  </si>
  <si>
    <t>項目は30個まで、パターンは10個まで入力できます。</t>
    <rPh sb="0" eb="2">
      <t>コウモク</t>
    </rPh>
    <rPh sb="5" eb="6">
      <t>コ</t>
    </rPh>
    <rPh sb="16" eb="17">
      <t>コ</t>
    </rPh>
    <rPh sb="19" eb="21">
      <t>ニュウリョク</t>
    </rPh>
    <phoneticPr fontId="1"/>
  </si>
  <si>
    <t>シート「HOME (サンプル)」を参考にしてください。</t>
    <rPh sb="17" eb="19">
      <t>サンコウ</t>
    </rPh>
    <phoneticPr fontId="1"/>
  </si>
  <si>
    <t>シート「HOME 」をお使いください。</t>
    <rPh sb="12" eb="13">
      <t>ツカ</t>
    </rPh>
    <phoneticPr fontId="1"/>
  </si>
  <si>
    <t>表作成時に「マトリクス」という名前のシートが削除されるようになっています。</t>
    <rPh sb="0" eb="1">
      <t>ヒョウ</t>
    </rPh>
    <rPh sb="1" eb="3">
      <t>サクセイ</t>
    </rPh>
    <rPh sb="3" eb="4">
      <t>ジ</t>
    </rPh>
    <rPh sb="15" eb="17">
      <t>ナマエ</t>
    </rPh>
    <rPh sb="22" eb="24">
      <t>サクジョ</t>
    </rPh>
    <phoneticPr fontId="1"/>
  </si>
  <si>
    <t>　マトリクス表を残したい場合はシート名を変更してください。</t>
    <rPh sb="6" eb="7">
      <t>ヒョウ</t>
    </rPh>
    <rPh sb="8" eb="9">
      <t>ノコ</t>
    </rPh>
    <rPh sb="12" eb="14">
      <t>バアイ</t>
    </rPh>
    <rPh sb="18" eb="19">
      <t>メイ</t>
    </rPh>
    <rPh sb="20" eb="22">
      <t>ヘンコウ</t>
    </rPh>
    <phoneticPr fontId="1"/>
  </si>
  <si>
    <t>件数が多いと時間がかかる場合があります。途中で止めたいときは「Esc」キーを押してください。</t>
    <rPh sb="0" eb="2">
      <t>ケンスウ</t>
    </rPh>
    <rPh sb="3" eb="4">
      <t>オオ</t>
    </rPh>
    <rPh sb="6" eb="8">
      <t>ジカン</t>
    </rPh>
    <rPh sb="12" eb="14">
      <t>バアイ</t>
    </rPh>
    <rPh sb="20" eb="22">
      <t>トチュウ</t>
    </rPh>
    <rPh sb="23" eb="24">
      <t>ト</t>
    </rPh>
    <rPh sb="38" eb="39">
      <t>オ</t>
    </rPh>
    <phoneticPr fontId="1"/>
  </si>
  <si>
    <t>マトリクス作成ツールをダウンロードしていただきありがとうございます。</t>
    <rPh sb="5" eb="7">
      <t>サクセイ</t>
    </rPh>
    <phoneticPr fontId="1"/>
  </si>
  <si>
    <t>業務等で役立てていただけたら幸いです。</t>
    <rPh sb="0" eb="2">
      <t>ギョウム</t>
    </rPh>
    <rPh sb="2" eb="3">
      <t>トウ</t>
    </rPh>
    <rPh sb="4" eb="6">
      <t>ヤクダ</t>
    </rPh>
    <rPh sb="14" eb="15">
      <t>サイワ</t>
    </rPh>
    <phoneticPr fontId="1"/>
  </si>
  <si>
    <t>ご飯もの</t>
  </si>
  <si>
    <t>ご飯もの</t>
    <rPh sb="1" eb="2">
      <t>ハン</t>
    </rPh>
    <phoneticPr fontId="1"/>
  </si>
  <si>
    <t>ごはん</t>
  </si>
  <si>
    <t>パン</t>
  </si>
  <si>
    <t>うどん</t>
  </si>
  <si>
    <t>おかず</t>
  </si>
  <si>
    <t>生姜焼き</t>
  </si>
  <si>
    <t>生姜焼き</t>
    <rPh sb="0" eb="3">
      <t>ショウガヤ</t>
    </rPh>
    <phoneticPr fontId="1"/>
  </si>
  <si>
    <t>ウインナー</t>
  </si>
  <si>
    <t>天ぷら</t>
  </si>
  <si>
    <t>天ぷら</t>
    <rPh sb="0" eb="1">
      <t>テン</t>
    </rPh>
    <phoneticPr fontId="1"/>
  </si>
  <si>
    <t>デザート</t>
  </si>
  <si>
    <t>アイス</t>
  </si>
  <si>
    <t>ヨーグルト</t>
  </si>
  <si>
    <t>パターン1</t>
  </si>
  <si>
    <t>80円引き</t>
    <rPh sb="2" eb="3">
      <t>エン</t>
    </rPh>
    <rPh sb="3" eb="4">
      <t>ビ</t>
    </rPh>
    <phoneticPr fontId="1"/>
  </si>
  <si>
    <t>30円引き</t>
    <rPh sb="2" eb="3">
      <t>エン</t>
    </rPh>
    <rPh sb="3" eb="4">
      <t>ビ</t>
    </rPh>
    <phoneticPr fontId="1"/>
  </si>
  <si>
    <t>50円引き</t>
    <rPh sb="2" eb="3">
      <t>エン</t>
    </rPh>
    <rPh sb="3" eb="4">
      <t>ビ</t>
    </rPh>
    <phoneticPr fontId="1"/>
  </si>
  <si>
    <t>値引きなし</t>
    <rPh sb="0" eb="2">
      <t>ネビ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</si>
</sst>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0" fillId="6" borderId="1" xfId="0" applyFill="1" applyBorder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7" borderId="1" xfId="0" applyFill="1" applyBorder="1">
      <alignment vertical="center"/>
    </xf>
    <xf numFmtId="0" fontId="0" fillId="9" borderId="1" xfId="0" applyFill="1" applyBorder="1" applyAlignment="1">
      <alignment horizontal="center" vertical="center"/>
    </xf>
    <xf numFmtId="0" fontId="0" fillId="0" borderId="2" xfId="0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8" borderId="1" xfId="0" applyFill="1" applyBorder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2"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BFBFBF"/>
      <color rgb="FFA264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</xdr:row>
          <xdr:rowOff>7620</xdr:rowOff>
        </xdr:from>
        <xdr:to>
          <xdr:col>3</xdr:col>
          <xdr:colOff>0</xdr:colOff>
          <xdr:row>2</xdr:row>
          <xdr:rowOff>220980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マトリクス作成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1</xdr:row>
      <xdr:rowOff>0</xdr:rowOff>
    </xdr:from>
    <xdr:to>
      <xdr:col>18</xdr:col>
      <xdr:colOff>38100</xdr:colOff>
      <xdr:row>37</xdr:row>
      <xdr:rowOff>57150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82150" y="238125"/>
          <a:ext cx="6038850" cy="8629650"/>
        </a:xfrm>
        <a:prstGeom prst="rect">
          <a:avLst/>
        </a:prstGeom>
        <a:solidFill>
          <a:srgbClr val="BFBFBF">
            <a:alpha val="83137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400">
              <a:solidFill>
                <a:schemeClr val="tx1"/>
              </a:solidFill>
            </a:rPr>
            <a:t>処理用セル</a:t>
          </a:r>
          <a:endParaRPr kumimoji="1" lang="en-US" altLang="ja-JP" sz="24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647700</xdr:colOff>
      <xdr:row>0</xdr:row>
      <xdr:rowOff>47625</xdr:rowOff>
    </xdr:from>
    <xdr:to>
      <xdr:col>18</xdr:col>
      <xdr:colOff>0</xdr:colOff>
      <xdr:row>36</xdr:row>
      <xdr:rowOff>104775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05800" y="47625"/>
          <a:ext cx="6038850" cy="8629650"/>
        </a:xfrm>
        <a:prstGeom prst="rect">
          <a:avLst/>
        </a:prstGeom>
        <a:solidFill>
          <a:srgbClr val="BFBFBF">
            <a:alpha val="83137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400">
              <a:solidFill>
                <a:schemeClr val="tx1"/>
              </a:solidFill>
            </a:rPr>
            <a:t>処理用セル</a:t>
          </a:r>
        </a:p>
      </xdr:txBody>
    </xdr:sp>
    <xdr:clientData/>
  </xdr:twoCellAnchor>
  <xdr:twoCellAnchor>
    <xdr:from>
      <xdr:col>1</xdr:col>
      <xdr:colOff>379095</xdr:colOff>
      <xdr:row>13</xdr:row>
      <xdr:rowOff>26670</xdr:rowOff>
    </xdr:from>
    <xdr:to>
      <xdr:col>3</xdr:col>
      <xdr:colOff>369570</xdr:colOff>
      <xdr:row>15</xdr:row>
      <xdr:rowOff>150495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49655" y="2998470"/>
          <a:ext cx="2009775" cy="581025"/>
        </a:xfrm>
        <a:prstGeom prst="wedgeRoundRectCallout">
          <a:avLst>
            <a:gd name="adj1" fmla="val -32875"/>
            <a:gd name="adj2" fmla="val -207813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①項目を入力</a:t>
          </a:r>
        </a:p>
      </xdr:txBody>
    </xdr:sp>
    <xdr:clientData/>
  </xdr:twoCellAnchor>
  <xdr:twoCellAnchor>
    <xdr:from>
      <xdr:col>3</xdr:col>
      <xdr:colOff>742950</xdr:colOff>
      <xdr:row>15</xdr:row>
      <xdr:rowOff>0</xdr:rowOff>
    </xdr:from>
    <xdr:to>
      <xdr:col>10</xdr:col>
      <xdr:colOff>70485</xdr:colOff>
      <xdr:row>20</xdr:row>
      <xdr:rowOff>0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432810" y="3429000"/>
          <a:ext cx="4661535" cy="1143000"/>
        </a:xfrm>
        <a:prstGeom prst="wedgeRoundRectCallout">
          <a:avLst>
            <a:gd name="adj1" fmla="val -44832"/>
            <a:gd name="adj2" fmla="val -180533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②項目のパターンを入力（左詰め）</a:t>
          </a:r>
        </a:p>
      </xdr:txBody>
    </xdr:sp>
    <xdr:clientData/>
  </xdr:twoCellAnchor>
  <xdr:twoCellAnchor>
    <xdr:from>
      <xdr:col>0</xdr:col>
      <xdr:colOff>676275</xdr:colOff>
      <xdr:row>1</xdr:row>
      <xdr:rowOff>0</xdr:rowOff>
    </xdr:from>
    <xdr:to>
      <xdr:col>2</xdr:col>
      <xdr:colOff>552450</xdr:colOff>
      <xdr:row>3</xdr:row>
      <xdr:rowOff>133350</xdr:rowOff>
    </xdr:to>
    <xdr:sp macro="" textlink="">
      <xdr:nvSpPr>
        <xdr:cNvPr id="5" name="吹き出し: 角を丸めた四角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6275" y="238125"/>
          <a:ext cx="1819275" cy="609600"/>
        </a:xfrm>
        <a:prstGeom prst="wedgeRoundRectCallout">
          <a:avLst>
            <a:gd name="adj1" fmla="val -40728"/>
            <a:gd name="adj2" fmla="val 20313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③ボタンを押す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205740</xdr:colOff>
      <xdr:row>13</xdr:row>
      <xdr:rowOff>106680</xdr:rowOff>
    </xdr:from>
    <xdr:to>
      <xdr:col>12</xdr:col>
      <xdr:colOff>434340</xdr:colOff>
      <xdr:row>17</xdr:row>
      <xdr:rowOff>152400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006340" y="3078480"/>
          <a:ext cx="4343400" cy="960120"/>
        </a:xfrm>
        <a:prstGeom prst="wedgeRoundRectCallout">
          <a:avLst>
            <a:gd name="adj1" fmla="val -69514"/>
            <a:gd name="adj2" fmla="val -160048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期待結果は手入力</a:t>
          </a:r>
          <a:endParaRPr kumimoji="1" lang="en-US" altLang="ja-JP" sz="1600"/>
        </a:p>
        <a:p>
          <a:pPr algn="l"/>
          <a:r>
            <a:rPr kumimoji="1" lang="ja-JP" altLang="en-US" sz="1600"/>
            <a:t>フィルターを駆使するのがおすすめです</a:t>
          </a:r>
          <a:endParaRPr kumimoji="1" lang="en-US" altLang="ja-JP" sz="1600"/>
        </a:p>
      </xdr:txBody>
    </xdr:sp>
    <xdr:clientData/>
  </xdr:twoCellAnchor>
  <xdr:twoCellAnchor>
    <xdr:from>
      <xdr:col>7</xdr:col>
      <xdr:colOff>30480</xdr:colOff>
      <xdr:row>4</xdr:row>
      <xdr:rowOff>30480</xdr:rowOff>
    </xdr:from>
    <xdr:to>
      <xdr:col>11</xdr:col>
      <xdr:colOff>144780</xdr:colOff>
      <xdr:row>8</xdr:row>
      <xdr:rowOff>91440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516880" y="944880"/>
          <a:ext cx="2857500" cy="9753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例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・パン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人は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円引き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にする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・アイスの人は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円引き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にする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881D1-8DB5-46D8-ACD9-DE9E3D82D60C}">
  <sheetPr codeName="Sheet3"/>
  <dimension ref="A1:B16"/>
  <sheetViews>
    <sheetView tabSelected="1" workbookViewId="0"/>
  </sheetViews>
  <sheetFormatPr defaultRowHeight="18" x14ac:dyDescent="0.45"/>
  <cols>
    <col min="1" max="2" width="4.5" customWidth="1"/>
  </cols>
  <sheetData>
    <row r="1" spans="1:2" x14ac:dyDescent="0.45">
      <c r="A1" s="18" t="s">
        <v>25</v>
      </c>
    </row>
    <row r="2" spans="1:2" x14ac:dyDescent="0.45">
      <c r="B2" t="s">
        <v>33</v>
      </c>
    </row>
    <row r="3" spans="1:2" x14ac:dyDescent="0.45">
      <c r="B3" t="s">
        <v>34</v>
      </c>
    </row>
    <row r="6" spans="1:2" x14ac:dyDescent="0.45">
      <c r="A6" s="18" t="s">
        <v>26</v>
      </c>
    </row>
    <row r="7" spans="1:2" x14ac:dyDescent="0.45">
      <c r="B7" t="s">
        <v>29</v>
      </c>
    </row>
    <row r="8" spans="1:2" x14ac:dyDescent="0.45">
      <c r="B8" t="s">
        <v>28</v>
      </c>
    </row>
    <row r="9" spans="1:2" x14ac:dyDescent="0.45">
      <c r="B9" t="s">
        <v>27</v>
      </c>
    </row>
    <row r="10" spans="1:2" x14ac:dyDescent="0.45">
      <c r="B10" t="s">
        <v>30</v>
      </c>
    </row>
    <row r="11" spans="1:2" x14ac:dyDescent="0.45">
      <c r="B11" t="s">
        <v>31</v>
      </c>
    </row>
    <row r="13" spans="1:2" x14ac:dyDescent="0.45">
      <c r="A13" s="18" t="s">
        <v>24</v>
      </c>
    </row>
    <row r="14" spans="1:2" x14ac:dyDescent="0.45">
      <c r="B14" t="s">
        <v>32</v>
      </c>
    </row>
    <row r="15" spans="1:2" x14ac:dyDescent="0.45">
      <c r="B15" t="s">
        <v>12</v>
      </c>
    </row>
    <row r="16" spans="1:2" x14ac:dyDescent="0.45">
      <c r="B16" t="s">
        <v>13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DCA7-F550-42E2-B237-64C10AB19955}">
  <sheetPr codeName="Sheet1">
    <tabColor rgb="FF92D050"/>
  </sheetPr>
  <dimension ref="A1:R37"/>
  <sheetViews>
    <sheetView workbookViewId="0"/>
  </sheetViews>
  <sheetFormatPr defaultRowHeight="18" x14ac:dyDescent="0.45"/>
  <cols>
    <col min="2" max="2" width="16.5" customWidth="1"/>
    <col min="3" max="4" width="9.8984375" customWidth="1"/>
    <col min="5" max="5" width="9.8984375" style="7" customWidth="1"/>
    <col min="6" max="12" width="9.8984375" customWidth="1"/>
    <col min="14" max="14" width="23.5" bestFit="1" customWidth="1"/>
    <col min="15" max="15" width="14.09765625" bestFit="1" customWidth="1"/>
    <col min="16" max="16" width="15.09765625" bestFit="1" customWidth="1"/>
    <col min="17" max="18" width="13" bestFit="1" customWidth="1"/>
  </cols>
  <sheetData>
    <row r="1" spans="1:18" x14ac:dyDescent="0.45">
      <c r="C1" t="s">
        <v>1</v>
      </c>
      <c r="E1" s="7">
        <f ca="1">R7</f>
        <v>0</v>
      </c>
      <c r="G1" t="s">
        <v>2</v>
      </c>
    </row>
    <row r="2" spans="1:18" x14ac:dyDescent="0.45">
      <c r="N2" s="4" t="s">
        <v>4</v>
      </c>
    </row>
    <row r="3" spans="1:18" x14ac:dyDescent="0.45">
      <c r="N3" s="6"/>
    </row>
    <row r="4" spans="1:18" x14ac:dyDescent="0.45">
      <c r="N4" s="10"/>
      <c r="O4" s="10"/>
      <c r="P4" s="10"/>
    </row>
    <row r="5" spans="1:18" x14ac:dyDescent="0.45"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O5">
        <v>3</v>
      </c>
      <c r="P5">
        <v>2</v>
      </c>
      <c r="Q5">
        <v>1</v>
      </c>
    </row>
    <row r="6" spans="1:18" x14ac:dyDescent="0.45">
      <c r="B6" s="1" t="s">
        <v>11</v>
      </c>
      <c r="C6" s="8" t="s">
        <v>14</v>
      </c>
      <c r="D6" s="8" t="s">
        <v>15</v>
      </c>
      <c r="E6" s="8" t="s">
        <v>16</v>
      </c>
      <c r="F6" s="8" t="s">
        <v>17</v>
      </c>
      <c r="G6" s="8" t="s">
        <v>18</v>
      </c>
      <c r="H6" s="8" t="s">
        <v>19</v>
      </c>
      <c r="I6" s="8" t="s">
        <v>20</v>
      </c>
      <c r="J6" s="8" t="s">
        <v>21</v>
      </c>
      <c r="K6" s="8" t="s">
        <v>22</v>
      </c>
      <c r="L6" s="8" t="s">
        <v>23</v>
      </c>
      <c r="N6" s="5" t="s">
        <v>8</v>
      </c>
      <c r="O6" s="1" t="s">
        <v>5</v>
      </c>
      <c r="P6" s="5" t="s">
        <v>6</v>
      </c>
      <c r="Q6" s="1" t="s">
        <v>7</v>
      </c>
      <c r="R6" s="1" t="s">
        <v>9</v>
      </c>
    </row>
    <row r="7" spans="1:18" x14ac:dyDescent="0.45">
      <c r="A7">
        <v>1</v>
      </c>
      <c r="B7" s="17"/>
      <c r="C7" s="15"/>
      <c r="D7" s="15"/>
      <c r="E7" s="15"/>
      <c r="F7" s="15"/>
      <c r="G7" s="16"/>
      <c r="H7" s="16"/>
      <c r="I7" s="16"/>
      <c r="J7" s="16"/>
      <c r="K7" s="16"/>
      <c r="L7" s="16"/>
      <c r="N7" s="1" t="str">
        <f t="shared" ref="N7:N17" ca="1" si="0">IF(COUNTA(INDIRECT("項目"&amp;ROW()-6))&gt;0,COUNTA(INDIRECT("項目"&amp;ROW()-6)),"")</f>
        <v/>
      </c>
      <c r="O7" s="1" t="str">
        <f t="shared" ref="O7:O17" ca="1" si="1">IF($N7&lt;&gt;"",IF($N8&lt;&gt;"",PRODUCT(N8:N36),1),"")</f>
        <v/>
      </c>
      <c r="P7" s="1" t="str">
        <f t="shared" ref="P7:P17" ca="1" si="2">IF($N7&lt;&gt;"",$R$7/O7,"")</f>
        <v/>
      </c>
      <c r="Q7" s="3">
        <f>COUNTA(C7:C36)</f>
        <v>0</v>
      </c>
      <c r="R7" s="1">
        <f ca="1">PRODUCT(N7:N36)</f>
        <v>0</v>
      </c>
    </row>
    <row r="8" spans="1:18" x14ac:dyDescent="0.45">
      <c r="A8">
        <v>2</v>
      </c>
      <c r="B8" s="17"/>
      <c r="C8" s="15"/>
      <c r="D8" s="15"/>
      <c r="E8" s="15"/>
      <c r="F8" s="15"/>
      <c r="G8" s="16"/>
      <c r="H8" s="16"/>
      <c r="I8" s="16"/>
      <c r="J8" s="16"/>
      <c r="K8" s="16"/>
      <c r="L8" s="16"/>
      <c r="N8" s="1" t="str">
        <f t="shared" ca="1" si="0"/>
        <v/>
      </c>
      <c r="O8" s="1" t="str">
        <f t="shared" ca="1" si="1"/>
        <v/>
      </c>
      <c r="P8" s="1" t="str">
        <f t="shared" ca="1" si="2"/>
        <v/>
      </c>
    </row>
    <row r="9" spans="1:18" x14ac:dyDescent="0.45">
      <c r="A9">
        <v>3</v>
      </c>
      <c r="B9" s="17"/>
      <c r="C9" s="15"/>
      <c r="D9" s="15"/>
      <c r="E9" s="15"/>
      <c r="F9" s="15"/>
      <c r="G9" s="16"/>
      <c r="H9" s="16"/>
      <c r="I9" s="16"/>
      <c r="J9" s="16"/>
      <c r="K9" s="16"/>
      <c r="L9" s="16"/>
      <c r="N9" s="1" t="str">
        <f t="shared" ca="1" si="0"/>
        <v/>
      </c>
      <c r="O9" s="1" t="str">
        <f t="shared" ca="1" si="1"/>
        <v/>
      </c>
      <c r="P9" s="1" t="str">
        <f t="shared" ca="1" si="2"/>
        <v/>
      </c>
    </row>
    <row r="10" spans="1:18" x14ac:dyDescent="0.45">
      <c r="A10">
        <v>4</v>
      </c>
      <c r="B10" s="17"/>
      <c r="C10" s="15"/>
      <c r="D10" s="15"/>
      <c r="E10" s="15"/>
      <c r="F10" s="15"/>
      <c r="G10" s="16"/>
      <c r="H10" s="16"/>
      <c r="I10" s="16"/>
      <c r="J10" s="16"/>
      <c r="K10" s="16"/>
      <c r="L10" s="16"/>
      <c r="N10" s="1" t="str">
        <f t="shared" ca="1" si="0"/>
        <v/>
      </c>
      <c r="O10" s="1" t="str">
        <f t="shared" ca="1" si="1"/>
        <v/>
      </c>
      <c r="P10" s="1" t="str">
        <f t="shared" ca="1" si="2"/>
        <v/>
      </c>
    </row>
    <row r="11" spans="1:18" x14ac:dyDescent="0.45">
      <c r="A11">
        <v>5</v>
      </c>
      <c r="B11" s="2"/>
      <c r="C11" s="15"/>
      <c r="D11" s="15"/>
      <c r="E11" s="15"/>
      <c r="F11" s="15"/>
      <c r="G11" s="16"/>
      <c r="H11" s="16"/>
      <c r="I11" s="16"/>
      <c r="J11" s="16"/>
      <c r="K11" s="16"/>
      <c r="L11" s="16"/>
      <c r="N11" s="1" t="str">
        <f t="shared" ca="1" si="0"/>
        <v/>
      </c>
      <c r="O11" s="1" t="str">
        <f t="shared" ca="1" si="1"/>
        <v/>
      </c>
      <c r="P11" s="1" t="str">
        <f t="shared" ca="1" si="2"/>
        <v/>
      </c>
    </row>
    <row r="12" spans="1:18" x14ac:dyDescent="0.45">
      <c r="A12">
        <v>6</v>
      </c>
      <c r="B12" s="2"/>
      <c r="C12" s="15"/>
      <c r="D12" s="15"/>
      <c r="E12" s="15"/>
      <c r="F12" s="15"/>
      <c r="G12" s="16"/>
      <c r="H12" s="16"/>
      <c r="I12" s="16"/>
      <c r="J12" s="16"/>
      <c r="K12" s="16"/>
      <c r="L12" s="16"/>
      <c r="N12" s="1" t="str">
        <f t="shared" ca="1" si="0"/>
        <v/>
      </c>
      <c r="O12" s="1" t="str">
        <f t="shared" ca="1" si="1"/>
        <v/>
      </c>
      <c r="P12" s="1" t="str">
        <f t="shared" ca="1" si="2"/>
        <v/>
      </c>
    </row>
    <row r="13" spans="1:18" x14ac:dyDescent="0.45">
      <c r="A13">
        <v>7</v>
      </c>
      <c r="B13" s="2"/>
      <c r="C13" s="15"/>
      <c r="D13" s="15"/>
      <c r="E13" s="15"/>
      <c r="F13" s="15"/>
      <c r="G13" s="16"/>
      <c r="H13" s="16"/>
      <c r="I13" s="16"/>
      <c r="J13" s="16"/>
      <c r="K13" s="16"/>
      <c r="L13" s="16"/>
      <c r="N13" s="1" t="str">
        <f t="shared" ca="1" si="0"/>
        <v/>
      </c>
      <c r="O13" s="1" t="str">
        <f t="shared" ca="1" si="1"/>
        <v/>
      </c>
      <c r="P13" s="1" t="str">
        <f t="shared" ca="1" si="2"/>
        <v/>
      </c>
    </row>
    <row r="14" spans="1:18" x14ac:dyDescent="0.45">
      <c r="A14">
        <v>8</v>
      </c>
      <c r="B14" s="2"/>
      <c r="C14" s="15"/>
      <c r="D14" s="15"/>
      <c r="E14" s="15"/>
      <c r="F14" s="15"/>
      <c r="G14" s="16"/>
      <c r="H14" s="16"/>
      <c r="I14" s="16"/>
      <c r="J14" s="16"/>
      <c r="K14" s="16"/>
      <c r="L14" s="16"/>
      <c r="N14" s="1" t="str">
        <f t="shared" ca="1" si="0"/>
        <v/>
      </c>
      <c r="O14" s="1" t="str">
        <f t="shared" ca="1" si="1"/>
        <v/>
      </c>
      <c r="P14" s="1" t="str">
        <f t="shared" ca="1" si="2"/>
        <v/>
      </c>
    </row>
    <row r="15" spans="1:18" x14ac:dyDescent="0.45">
      <c r="A15">
        <v>9</v>
      </c>
      <c r="B15" s="2"/>
      <c r="C15" s="15"/>
      <c r="D15" s="15"/>
      <c r="E15" s="15"/>
      <c r="F15" s="15"/>
      <c r="G15" s="16"/>
      <c r="H15" s="16"/>
      <c r="I15" s="16"/>
      <c r="J15" s="16"/>
      <c r="K15" s="16"/>
      <c r="L15" s="16"/>
      <c r="N15" s="1" t="str">
        <f t="shared" ca="1" si="0"/>
        <v/>
      </c>
      <c r="O15" s="1" t="str">
        <f t="shared" ca="1" si="1"/>
        <v/>
      </c>
      <c r="P15" s="1" t="str">
        <f t="shared" ca="1" si="2"/>
        <v/>
      </c>
    </row>
    <row r="16" spans="1:18" x14ac:dyDescent="0.45">
      <c r="A16">
        <v>10</v>
      </c>
      <c r="B16" s="2"/>
      <c r="C16" s="15"/>
      <c r="D16" s="15"/>
      <c r="E16" s="9"/>
      <c r="F16" s="9"/>
      <c r="G16" s="9"/>
      <c r="H16" s="9"/>
      <c r="I16" s="9"/>
      <c r="J16" s="9"/>
      <c r="K16" s="16"/>
      <c r="L16" s="16"/>
      <c r="N16" s="1" t="str">
        <f t="shared" ca="1" si="0"/>
        <v/>
      </c>
      <c r="O16" s="1" t="str">
        <f t="shared" ca="1" si="1"/>
        <v/>
      </c>
      <c r="P16" s="1" t="str">
        <f t="shared" ca="1" si="2"/>
        <v/>
      </c>
    </row>
    <row r="17" spans="1:16" x14ac:dyDescent="0.45">
      <c r="A17">
        <v>11</v>
      </c>
      <c r="B17" s="2"/>
      <c r="C17" s="15"/>
      <c r="D17" s="15"/>
      <c r="E17" s="15"/>
      <c r="F17" s="16"/>
      <c r="G17" s="16"/>
      <c r="H17" s="16"/>
      <c r="I17" s="16"/>
      <c r="J17" s="16"/>
      <c r="K17" s="16"/>
      <c r="L17" s="16"/>
      <c r="N17" s="1" t="str">
        <f t="shared" ca="1" si="0"/>
        <v/>
      </c>
      <c r="O17" s="1" t="str">
        <f t="shared" ca="1" si="1"/>
        <v/>
      </c>
      <c r="P17" s="1" t="str">
        <f t="shared" ca="1" si="2"/>
        <v/>
      </c>
    </row>
    <row r="18" spans="1:16" x14ac:dyDescent="0.45">
      <c r="A18">
        <v>12</v>
      </c>
      <c r="B18" s="2"/>
      <c r="C18" s="16"/>
      <c r="D18" s="16"/>
      <c r="E18" s="15"/>
      <c r="F18" s="16"/>
      <c r="G18" s="16"/>
      <c r="H18" s="16"/>
      <c r="I18" s="16"/>
      <c r="J18" s="16"/>
      <c r="K18" s="16"/>
      <c r="L18" s="16"/>
      <c r="N18" s="1" t="str">
        <f t="shared" ref="N18:N36" si="3">IF(COUNTA(C18:L18)&gt;0,COUNTA(C18:L18),"")</f>
        <v/>
      </c>
      <c r="O18" s="1" t="str">
        <f t="shared" ref="O18:O36" si="4">IF($N18&lt;&gt;"",IF($N19&lt;&gt;"",PRODUCT(N19:N47),1),"")</f>
        <v/>
      </c>
      <c r="P18" s="1" t="str">
        <f t="shared" ref="P18:P36" si="5">IF($N18&lt;&gt;"",$R$7/O18,"")</f>
        <v/>
      </c>
    </row>
    <row r="19" spans="1:16" x14ac:dyDescent="0.45">
      <c r="A19">
        <v>13</v>
      </c>
      <c r="B19" s="2"/>
      <c r="C19" s="16"/>
      <c r="D19" s="16"/>
      <c r="E19" s="15"/>
      <c r="F19" s="16"/>
      <c r="G19" s="16"/>
      <c r="H19" s="16"/>
      <c r="I19" s="16"/>
      <c r="J19" s="16"/>
      <c r="K19" s="16"/>
      <c r="L19" s="16"/>
      <c r="N19" s="1" t="str">
        <f t="shared" si="3"/>
        <v/>
      </c>
      <c r="O19" s="1" t="str">
        <f t="shared" si="4"/>
        <v/>
      </c>
      <c r="P19" s="1" t="str">
        <f t="shared" si="5"/>
        <v/>
      </c>
    </row>
    <row r="20" spans="1:16" x14ac:dyDescent="0.45">
      <c r="A20">
        <v>14</v>
      </c>
      <c r="B20" s="2"/>
      <c r="C20" s="16"/>
      <c r="D20" s="16"/>
      <c r="E20" s="15"/>
      <c r="F20" s="16"/>
      <c r="G20" s="16"/>
      <c r="H20" s="16"/>
      <c r="I20" s="16"/>
      <c r="J20" s="16"/>
      <c r="K20" s="16"/>
      <c r="L20" s="16"/>
      <c r="N20" s="1" t="str">
        <f t="shared" si="3"/>
        <v/>
      </c>
      <c r="O20" s="1" t="str">
        <f t="shared" si="4"/>
        <v/>
      </c>
      <c r="P20" s="1" t="str">
        <f t="shared" si="5"/>
        <v/>
      </c>
    </row>
    <row r="21" spans="1:16" x14ac:dyDescent="0.45">
      <c r="A21">
        <v>15</v>
      </c>
      <c r="B21" s="2"/>
      <c r="C21" s="16"/>
      <c r="D21" s="16"/>
      <c r="E21" s="15"/>
      <c r="F21" s="16"/>
      <c r="G21" s="16"/>
      <c r="H21" s="16"/>
      <c r="I21" s="16"/>
      <c r="J21" s="16"/>
      <c r="K21" s="16"/>
      <c r="L21" s="16"/>
      <c r="N21" s="1" t="str">
        <f t="shared" si="3"/>
        <v/>
      </c>
      <c r="O21" s="1" t="str">
        <f t="shared" si="4"/>
        <v/>
      </c>
      <c r="P21" s="1" t="str">
        <f t="shared" si="5"/>
        <v/>
      </c>
    </row>
    <row r="22" spans="1:16" x14ac:dyDescent="0.45">
      <c r="A22">
        <v>16</v>
      </c>
      <c r="B22" s="2"/>
      <c r="C22" s="16"/>
      <c r="D22" s="16"/>
      <c r="E22" s="15"/>
      <c r="F22" s="16"/>
      <c r="G22" s="16"/>
      <c r="H22" s="16"/>
      <c r="I22" s="16"/>
      <c r="J22" s="16"/>
      <c r="K22" s="16"/>
      <c r="L22" s="16"/>
      <c r="N22" s="1" t="str">
        <f t="shared" si="3"/>
        <v/>
      </c>
      <c r="O22" s="1" t="str">
        <f t="shared" si="4"/>
        <v/>
      </c>
      <c r="P22" s="1" t="str">
        <f t="shared" si="5"/>
        <v/>
      </c>
    </row>
    <row r="23" spans="1:16" x14ac:dyDescent="0.45">
      <c r="A23">
        <v>17</v>
      </c>
      <c r="B23" s="2"/>
      <c r="C23" s="16"/>
      <c r="D23" s="16"/>
      <c r="E23" s="15"/>
      <c r="F23" s="16"/>
      <c r="G23" s="16"/>
      <c r="H23" s="16"/>
      <c r="I23" s="16"/>
      <c r="J23" s="16"/>
      <c r="K23" s="16"/>
      <c r="L23" s="16"/>
      <c r="N23" s="1" t="str">
        <f t="shared" si="3"/>
        <v/>
      </c>
      <c r="O23" s="1" t="str">
        <f t="shared" si="4"/>
        <v/>
      </c>
      <c r="P23" s="1" t="str">
        <f t="shared" si="5"/>
        <v/>
      </c>
    </row>
    <row r="24" spans="1:16" x14ac:dyDescent="0.45">
      <c r="A24">
        <v>18</v>
      </c>
      <c r="B24" s="2"/>
      <c r="C24" s="16"/>
      <c r="D24" s="16"/>
      <c r="E24" s="15"/>
      <c r="F24" s="16"/>
      <c r="G24" s="16"/>
      <c r="H24" s="16"/>
      <c r="I24" s="16"/>
      <c r="J24" s="16"/>
      <c r="K24" s="16"/>
      <c r="L24" s="16"/>
      <c r="N24" s="1" t="str">
        <f t="shared" si="3"/>
        <v/>
      </c>
      <c r="O24" s="1" t="str">
        <f t="shared" si="4"/>
        <v/>
      </c>
      <c r="P24" s="1" t="str">
        <f t="shared" si="5"/>
        <v/>
      </c>
    </row>
    <row r="25" spans="1:16" x14ac:dyDescent="0.45">
      <c r="A25">
        <v>19</v>
      </c>
      <c r="B25" s="2"/>
      <c r="C25" s="16"/>
      <c r="D25" s="16"/>
      <c r="E25" s="15"/>
      <c r="F25" s="16"/>
      <c r="G25" s="16"/>
      <c r="H25" s="16"/>
      <c r="I25" s="16"/>
      <c r="J25" s="16"/>
      <c r="K25" s="16"/>
      <c r="L25" s="16"/>
      <c r="N25" s="1" t="str">
        <f t="shared" si="3"/>
        <v/>
      </c>
      <c r="O25" s="1" t="str">
        <f t="shared" si="4"/>
        <v/>
      </c>
      <c r="P25" s="1" t="str">
        <f t="shared" si="5"/>
        <v/>
      </c>
    </row>
    <row r="26" spans="1:16" x14ac:dyDescent="0.45">
      <c r="A26">
        <v>20</v>
      </c>
      <c r="B26" s="2"/>
      <c r="C26" s="16"/>
      <c r="D26" s="16"/>
      <c r="E26" s="15"/>
      <c r="F26" s="16"/>
      <c r="G26" s="16"/>
      <c r="H26" s="16"/>
      <c r="I26" s="16"/>
      <c r="J26" s="16"/>
      <c r="K26" s="16"/>
      <c r="L26" s="16"/>
      <c r="N26" s="1" t="str">
        <f t="shared" si="3"/>
        <v/>
      </c>
      <c r="O26" s="1" t="str">
        <f t="shared" si="4"/>
        <v/>
      </c>
      <c r="P26" s="1" t="str">
        <f t="shared" si="5"/>
        <v/>
      </c>
    </row>
    <row r="27" spans="1:16" x14ac:dyDescent="0.45">
      <c r="A27">
        <v>21</v>
      </c>
      <c r="B27" s="2"/>
      <c r="C27" s="16"/>
      <c r="D27" s="16"/>
      <c r="E27" s="15"/>
      <c r="F27" s="16"/>
      <c r="G27" s="16"/>
      <c r="H27" s="16"/>
      <c r="I27" s="16"/>
      <c r="J27" s="16"/>
      <c r="K27" s="16"/>
      <c r="L27" s="16"/>
      <c r="N27" s="1" t="str">
        <f t="shared" si="3"/>
        <v/>
      </c>
      <c r="O27" s="1" t="str">
        <f t="shared" si="4"/>
        <v/>
      </c>
      <c r="P27" s="1" t="str">
        <f t="shared" si="5"/>
        <v/>
      </c>
    </row>
    <row r="28" spans="1:16" x14ac:dyDescent="0.45">
      <c r="A28">
        <v>22</v>
      </c>
      <c r="B28" s="2"/>
      <c r="C28" s="16"/>
      <c r="D28" s="16"/>
      <c r="E28" s="15"/>
      <c r="F28" s="16"/>
      <c r="G28" s="16"/>
      <c r="H28" s="16"/>
      <c r="I28" s="16"/>
      <c r="J28" s="16"/>
      <c r="K28" s="16"/>
      <c r="L28" s="16"/>
      <c r="N28" s="1" t="str">
        <f t="shared" si="3"/>
        <v/>
      </c>
      <c r="O28" s="1" t="str">
        <f t="shared" si="4"/>
        <v/>
      </c>
      <c r="P28" s="1" t="str">
        <f t="shared" si="5"/>
        <v/>
      </c>
    </row>
    <row r="29" spans="1:16" x14ac:dyDescent="0.45">
      <c r="A29">
        <v>23</v>
      </c>
      <c r="B29" s="2"/>
      <c r="C29" s="16"/>
      <c r="D29" s="16"/>
      <c r="E29" s="15"/>
      <c r="F29" s="16"/>
      <c r="G29" s="16"/>
      <c r="H29" s="16"/>
      <c r="I29" s="16"/>
      <c r="J29" s="16"/>
      <c r="K29" s="16"/>
      <c r="L29" s="16"/>
      <c r="N29" s="1" t="str">
        <f t="shared" si="3"/>
        <v/>
      </c>
      <c r="O29" s="1" t="str">
        <f t="shared" si="4"/>
        <v/>
      </c>
      <c r="P29" s="1" t="str">
        <f t="shared" si="5"/>
        <v/>
      </c>
    </row>
    <row r="30" spans="1:16" x14ac:dyDescent="0.45">
      <c r="A30">
        <v>24</v>
      </c>
      <c r="B30" s="2"/>
      <c r="C30" s="16"/>
      <c r="D30" s="16"/>
      <c r="E30" s="15"/>
      <c r="F30" s="16"/>
      <c r="G30" s="16"/>
      <c r="H30" s="16"/>
      <c r="I30" s="16"/>
      <c r="J30" s="16"/>
      <c r="K30" s="16"/>
      <c r="L30" s="16"/>
      <c r="N30" s="1" t="str">
        <f t="shared" si="3"/>
        <v/>
      </c>
      <c r="O30" s="1" t="str">
        <f t="shared" si="4"/>
        <v/>
      </c>
      <c r="P30" s="1" t="str">
        <f t="shared" si="5"/>
        <v/>
      </c>
    </row>
    <row r="31" spans="1:16" x14ac:dyDescent="0.45">
      <c r="A31">
        <v>25</v>
      </c>
      <c r="B31" s="2"/>
      <c r="C31" s="16"/>
      <c r="D31" s="16"/>
      <c r="E31" s="15"/>
      <c r="F31" s="16"/>
      <c r="G31" s="16"/>
      <c r="H31" s="16"/>
      <c r="I31" s="16"/>
      <c r="J31" s="16"/>
      <c r="K31" s="16"/>
      <c r="L31" s="16"/>
      <c r="N31" s="1" t="str">
        <f t="shared" si="3"/>
        <v/>
      </c>
      <c r="O31" s="1" t="str">
        <f t="shared" si="4"/>
        <v/>
      </c>
      <c r="P31" s="1" t="str">
        <f t="shared" si="5"/>
        <v/>
      </c>
    </row>
    <row r="32" spans="1:16" x14ac:dyDescent="0.45">
      <c r="A32">
        <v>26</v>
      </c>
      <c r="B32" s="2"/>
      <c r="C32" s="16"/>
      <c r="D32" s="16"/>
      <c r="E32" s="15"/>
      <c r="F32" s="16"/>
      <c r="G32" s="16"/>
      <c r="H32" s="16"/>
      <c r="I32" s="16"/>
      <c r="J32" s="16"/>
      <c r="K32" s="16"/>
      <c r="L32" s="16"/>
      <c r="N32" s="1" t="str">
        <f t="shared" si="3"/>
        <v/>
      </c>
      <c r="O32" s="1" t="str">
        <f t="shared" si="4"/>
        <v/>
      </c>
      <c r="P32" s="1" t="str">
        <f t="shared" si="5"/>
        <v/>
      </c>
    </row>
    <row r="33" spans="1:16" x14ac:dyDescent="0.45">
      <c r="A33">
        <v>27</v>
      </c>
      <c r="B33" s="2"/>
      <c r="C33" s="16"/>
      <c r="D33" s="16"/>
      <c r="E33" s="15"/>
      <c r="F33" s="16"/>
      <c r="G33" s="16"/>
      <c r="H33" s="16"/>
      <c r="I33" s="16"/>
      <c r="J33" s="16"/>
      <c r="K33" s="16"/>
      <c r="L33" s="16"/>
      <c r="N33" s="1" t="str">
        <f t="shared" si="3"/>
        <v/>
      </c>
      <c r="O33" s="1" t="str">
        <f t="shared" si="4"/>
        <v/>
      </c>
      <c r="P33" s="1" t="str">
        <f t="shared" si="5"/>
        <v/>
      </c>
    </row>
    <row r="34" spans="1:16" x14ac:dyDescent="0.45">
      <c r="A34">
        <v>28</v>
      </c>
      <c r="B34" s="2"/>
      <c r="C34" s="16"/>
      <c r="D34" s="16"/>
      <c r="E34" s="15"/>
      <c r="F34" s="16"/>
      <c r="G34" s="16"/>
      <c r="H34" s="16"/>
      <c r="I34" s="16"/>
      <c r="J34" s="16"/>
      <c r="K34" s="16"/>
      <c r="L34" s="16"/>
      <c r="N34" s="1" t="str">
        <f t="shared" si="3"/>
        <v/>
      </c>
      <c r="O34" s="1" t="str">
        <f t="shared" si="4"/>
        <v/>
      </c>
      <c r="P34" s="1" t="str">
        <f t="shared" si="5"/>
        <v/>
      </c>
    </row>
    <row r="35" spans="1:16" x14ac:dyDescent="0.45">
      <c r="A35">
        <v>29</v>
      </c>
      <c r="B35" s="2"/>
      <c r="C35" s="16"/>
      <c r="D35" s="16"/>
      <c r="E35" s="15"/>
      <c r="F35" s="16"/>
      <c r="G35" s="16"/>
      <c r="H35" s="16"/>
      <c r="I35" s="16"/>
      <c r="J35" s="16"/>
      <c r="K35" s="16"/>
      <c r="L35" s="16"/>
      <c r="N35" s="1" t="str">
        <f t="shared" si="3"/>
        <v/>
      </c>
      <c r="O35" s="1" t="str">
        <f t="shared" si="4"/>
        <v/>
      </c>
      <c r="P35" s="1" t="str">
        <f t="shared" si="5"/>
        <v/>
      </c>
    </row>
    <row r="36" spans="1:16" x14ac:dyDescent="0.45">
      <c r="A36">
        <v>30</v>
      </c>
      <c r="B36" s="2"/>
      <c r="C36" s="16"/>
      <c r="D36" s="16"/>
      <c r="E36" s="15"/>
      <c r="F36" s="16"/>
      <c r="G36" s="16"/>
      <c r="H36" s="16"/>
      <c r="I36" s="16"/>
      <c r="J36" s="16"/>
      <c r="K36" s="16"/>
      <c r="L36" s="16"/>
      <c r="N36" s="1" t="str">
        <f t="shared" si="3"/>
        <v/>
      </c>
      <c r="O36" s="1" t="str">
        <f t="shared" si="4"/>
        <v/>
      </c>
      <c r="P36" s="1" t="str">
        <f t="shared" si="5"/>
        <v/>
      </c>
    </row>
    <row r="37" spans="1:16" x14ac:dyDescent="0.45">
      <c r="D37" s="14"/>
    </row>
  </sheetData>
  <dataConsolidate/>
  <phoneticPr fontId="1"/>
  <conditionalFormatting sqref="E1">
    <cfRule type="cellIs" dxfId="1" priority="4" operator="greaterThanOrEqual">
      <formula>65534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7620</xdr:colOff>
                    <xdr:row>1</xdr:row>
                    <xdr:rowOff>7620</xdr:rowOff>
                  </from>
                  <to>
                    <xdr:col>3</xdr:col>
                    <xdr:colOff>0</xdr:colOff>
                    <xdr:row>2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FBBD2-D9C9-42B3-BF66-D63DFD907C09}">
  <sheetPr codeName="Sheet4">
    <tabColor theme="8" tint="0.59999389629810485"/>
  </sheetPr>
  <dimension ref="B1:R36"/>
  <sheetViews>
    <sheetView workbookViewId="0">
      <selection activeCell="B6" sqref="B6"/>
    </sheetView>
  </sheetViews>
  <sheetFormatPr defaultRowHeight="18" x14ac:dyDescent="0.45"/>
  <cols>
    <col min="2" max="2" width="16.5" customWidth="1"/>
    <col min="3" max="12" width="10" customWidth="1"/>
    <col min="14" max="14" width="23.5" bestFit="1" customWidth="1"/>
    <col min="15" max="15" width="14.09765625" bestFit="1" customWidth="1"/>
    <col min="16" max="16" width="15.09765625" bestFit="1" customWidth="1"/>
    <col min="17" max="18" width="13" bestFit="1" customWidth="1"/>
  </cols>
  <sheetData>
    <row r="1" spans="2:18" x14ac:dyDescent="0.45">
      <c r="C1" t="s">
        <v>1</v>
      </c>
      <c r="E1">
        <f>R7</f>
        <v>18</v>
      </c>
      <c r="G1" t="s">
        <v>2</v>
      </c>
    </row>
    <row r="2" spans="2:18" x14ac:dyDescent="0.45">
      <c r="N2" s="4" t="s">
        <v>4</v>
      </c>
    </row>
    <row r="3" spans="2:18" x14ac:dyDescent="0.45">
      <c r="N3" s="6"/>
    </row>
    <row r="4" spans="2:18" x14ac:dyDescent="0.45">
      <c r="N4" s="10"/>
      <c r="O4" s="10"/>
      <c r="P4" s="10"/>
    </row>
    <row r="5" spans="2:18" x14ac:dyDescent="0.45">
      <c r="O5">
        <v>3</v>
      </c>
      <c r="P5">
        <v>2</v>
      </c>
      <c r="Q5">
        <v>1</v>
      </c>
    </row>
    <row r="6" spans="2:18" x14ac:dyDescent="0.45">
      <c r="B6" s="1" t="s">
        <v>11</v>
      </c>
      <c r="C6" s="8" t="s">
        <v>49</v>
      </c>
      <c r="D6" s="8" t="s">
        <v>15</v>
      </c>
      <c r="E6" s="8" t="s">
        <v>16</v>
      </c>
      <c r="F6" s="8" t="s">
        <v>17</v>
      </c>
      <c r="G6" s="8" t="s">
        <v>18</v>
      </c>
      <c r="H6" s="8" t="s">
        <v>19</v>
      </c>
      <c r="I6" s="8" t="s">
        <v>20</v>
      </c>
      <c r="J6" s="8" t="s">
        <v>21</v>
      </c>
      <c r="K6" s="8" t="s">
        <v>22</v>
      </c>
      <c r="L6" s="8" t="s">
        <v>23</v>
      </c>
      <c r="N6" s="5" t="s">
        <v>8</v>
      </c>
      <c r="O6" s="1" t="s">
        <v>5</v>
      </c>
      <c r="P6" s="5" t="s">
        <v>6</v>
      </c>
      <c r="Q6" s="1" t="s">
        <v>7</v>
      </c>
      <c r="R6" s="1" t="s">
        <v>9</v>
      </c>
    </row>
    <row r="7" spans="2:18" x14ac:dyDescent="0.45">
      <c r="B7" s="2" t="s">
        <v>36</v>
      </c>
      <c r="C7" s="1" t="s">
        <v>37</v>
      </c>
      <c r="D7" s="1" t="s">
        <v>38</v>
      </c>
      <c r="E7" s="1" t="s">
        <v>39</v>
      </c>
      <c r="F7" s="1"/>
      <c r="G7" s="1"/>
      <c r="H7" s="1"/>
      <c r="I7" s="1"/>
      <c r="J7" s="1"/>
      <c r="K7" s="1"/>
      <c r="L7" s="1"/>
      <c r="N7" s="1">
        <f>IF(COUNTA(C7:L7)&gt;0,COUNTA(C7:L7),"")</f>
        <v>3</v>
      </c>
      <c r="O7" s="1">
        <f t="shared" ref="O7:O36" si="0">IF($N7&lt;&gt;"",IF($N8&lt;&gt;"",PRODUCT(N8:N36),1),"")</f>
        <v>6</v>
      </c>
      <c r="P7" s="1">
        <f t="shared" ref="P7:P36" si="1">IF($N7&lt;&gt;"",$R$7/O7,"")</f>
        <v>3</v>
      </c>
      <c r="Q7" s="3">
        <f>COUNTA(C7:C36)</f>
        <v>3</v>
      </c>
      <c r="R7" s="1">
        <f>PRODUCT(N7:N36)</f>
        <v>18</v>
      </c>
    </row>
    <row r="8" spans="2:18" x14ac:dyDescent="0.45">
      <c r="B8" s="2" t="s">
        <v>40</v>
      </c>
      <c r="C8" s="1" t="s">
        <v>42</v>
      </c>
      <c r="D8" s="1" t="s">
        <v>43</v>
      </c>
      <c r="E8" s="1" t="s">
        <v>45</v>
      </c>
      <c r="F8" s="1"/>
      <c r="G8" s="1"/>
      <c r="H8" s="1"/>
      <c r="I8" s="1"/>
      <c r="J8" s="1"/>
      <c r="K8" s="1"/>
      <c r="L8" s="1"/>
      <c r="N8" s="1">
        <f t="shared" ref="N8:N36" si="2">IF(COUNTA(C8:L8)&gt;0,COUNTA(C8:L8),"")</f>
        <v>3</v>
      </c>
      <c r="O8" s="1">
        <f t="shared" si="0"/>
        <v>2</v>
      </c>
      <c r="P8" s="1">
        <f t="shared" si="1"/>
        <v>9</v>
      </c>
    </row>
    <row r="9" spans="2:18" x14ac:dyDescent="0.45">
      <c r="B9" s="2" t="s">
        <v>46</v>
      </c>
      <c r="C9" s="1" t="s">
        <v>47</v>
      </c>
      <c r="D9" s="1" t="s">
        <v>48</v>
      </c>
      <c r="E9" s="1"/>
      <c r="F9" s="1"/>
      <c r="G9" s="1"/>
      <c r="H9" s="1"/>
      <c r="I9" s="1"/>
      <c r="J9" s="1"/>
      <c r="K9" s="1"/>
      <c r="L9" s="1"/>
      <c r="N9" s="1">
        <f t="shared" si="2"/>
        <v>2</v>
      </c>
      <c r="O9" s="1">
        <f t="shared" si="0"/>
        <v>1</v>
      </c>
      <c r="P9" s="1">
        <f t="shared" si="1"/>
        <v>18</v>
      </c>
    </row>
    <row r="10" spans="2:18" x14ac:dyDescent="0.45">
      <c r="B10" s="2"/>
      <c r="C10" s="1"/>
      <c r="D10" s="1"/>
      <c r="E10" s="1"/>
      <c r="F10" s="1"/>
      <c r="G10" s="1"/>
      <c r="H10" s="1"/>
      <c r="I10" s="1"/>
      <c r="J10" s="1"/>
      <c r="K10" s="1"/>
      <c r="L10" s="1"/>
      <c r="N10" s="1" t="str">
        <f t="shared" si="2"/>
        <v/>
      </c>
      <c r="O10" s="1" t="str">
        <f t="shared" si="0"/>
        <v/>
      </c>
      <c r="P10" s="1" t="str">
        <f t="shared" si="1"/>
        <v/>
      </c>
    </row>
    <row r="11" spans="2:18" x14ac:dyDescent="0.45">
      <c r="B11" s="2"/>
      <c r="C11" s="1"/>
      <c r="D11" s="1"/>
      <c r="E11" s="1"/>
      <c r="F11" s="1"/>
      <c r="G11" s="1"/>
      <c r="H11" s="1"/>
      <c r="I11" s="1"/>
      <c r="J11" s="1"/>
      <c r="K11" s="1"/>
      <c r="L11" s="1"/>
      <c r="N11" s="1" t="str">
        <f t="shared" si="2"/>
        <v/>
      </c>
      <c r="O11" s="1" t="str">
        <f t="shared" si="0"/>
        <v/>
      </c>
      <c r="P11" s="1" t="str">
        <f t="shared" si="1"/>
        <v/>
      </c>
    </row>
    <row r="12" spans="2:18" x14ac:dyDescent="0.45">
      <c r="B12" s="2"/>
      <c r="C12" s="1"/>
      <c r="D12" s="1"/>
      <c r="E12" s="1"/>
      <c r="F12" s="1"/>
      <c r="G12" s="1"/>
      <c r="H12" s="1"/>
      <c r="I12" s="1"/>
      <c r="J12" s="1"/>
      <c r="K12" s="1"/>
      <c r="L12" s="1"/>
      <c r="N12" s="1" t="str">
        <f t="shared" si="2"/>
        <v/>
      </c>
      <c r="O12" s="1" t="str">
        <f t="shared" si="0"/>
        <v/>
      </c>
      <c r="P12" s="1" t="str">
        <f t="shared" si="1"/>
        <v/>
      </c>
    </row>
    <row r="13" spans="2:18" x14ac:dyDescent="0.45">
      <c r="B13" s="2"/>
      <c r="C13" s="1"/>
      <c r="D13" s="1"/>
      <c r="E13" s="1"/>
      <c r="F13" s="1"/>
      <c r="G13" s="1"/>
      <c r="H13" s="1"/>
      <c r="I13" s="1"/>
      <c r="J13" s="1"/>
      <c r="K13" s="1"/>
      <c r="L13" s="1"/>
      <c r="N13" s="1" t="str">
        <f t="shared" si="2"/>
        <v/>
      </c>
      <c r="O13" s="1" t="str">
        <f t="shared" si="0"/>
        <v/>
      </c>
      <c r="P13" s="1" t="str">
        <f t="shared" si="1"/>
        <v/>
      </c>
    </row>
    <row r="14" spans="2:18" x14ac:dyDescent="0.45">
      <c r="B14" s="2"/>
      <c r="C14" s="1"/>
      <c r="D14" s="1"/>
      <c r="E14" s="1"/>
      <c r="F14" s="1"/>
      <c r="G14" s="1"/>
      <c r="H14" s="1"/>
      <c r="I14" s="1"/>
      <c r="J14" s="1"/>
      <c r="K14" s="1"/>
      <c r="L14" s="1"/>
      <c r="N14" s="1" t="str">
        <f t="shared" si="2"/>
        <v/>
      </c>
      <c r="O14" s="1" t="str">
        <f t="shared" si="0"/>
        <v/>
      </c>
      <c r="P14" s="1" t="str">
        <f t="shared" si="1"/>
        <v/>
      </c>
    </row>
    <row r="15" spans="2:18" x14ac:dyDescent="0.45">
      <c r="B15" s="2"/>
      <c r="C15" s="1"/>
      <c r="D15" s="1"/>
      <c r="E15" s="1"/>
      <c r="F15" s="1"/>
      <c r="G15" s="1"/>
      <c r="H15" s="1"/>
      <c r="I15" s="1"/>
      <c r="J15" s="1"/>
      <c r="K15" s="1"/>
      <c r="L15" s="1"/>
      <c r="N15" s="1" t="str">
        <f t="shared" si="2"/>
        <v/>
      </c>
      <c r="O15" s="1" t="str">
        <f t="shared" si="0"/>
        <v/>
      </c>
      <c r="P15" s="1" t="str">
        <f t="shared" si="1"/>
        <v/>
      </c>
    </row>
    <row r="16" spans="2:18" x14ac:dyDescent="0.45">
      <c r="B16" s="2"/>
      <c r="C16" s="1"/>
      <c r="D16" s="1"/>
      <c r="E16" s="1"/>
      <c r="F16" s="1"/>
      <c r="G16" s="1"/>
      <c r="H16" s="1"/>
      <c r="I16" s="1"/>
      <c r="J16" s="1"/>
      <c r="K16" s="1"/>
      <c r="L16" s="1"/>
      <c r="N16" s="1" t="str">
        <f t="shared" si="2"/>
        <v/>
      </c>
      <c r="O16" s="1" t="str">
        <f t="shared" si="0"/>
        <v/>
      </c>
      <c r="P16" s="1" t="str">
        <f t="shared" si="1"/>
        <v/>
      </c>
    </row>
    <row r="17" spans="2:16" x14ac:dyDescent="0.45">
      <c r="B17" s="2"/>
      <c r="C17" s="1"/>
      <c r="D17" s="1"/>
      <c r="E17" s="1"/>
      <c r="F17" s="1"/>
      <c r="G17" s="1"/>
      <c r="H17" s="1"/>
      <c r="I17" s="1"/>
      <c r="J17" s="1"/>
      <c r="K17" s="1"/>
      <c r="L17" s="1"/>
      <c r="N17" s="1" t="str">
        <f t="shared" si="2"/>
        <v/>
      </c>
      <c r="O17" s="1" t="str">
        <f t="shared" si="0"/>
        <v/>
      </c>
      <c r="P17" s="1" t="str">
        <f t="shared" si="1"/>
        <v/>
      </c>
    </row>
    <row r="18" spans="2:16" x14ac:dyDescent="0.45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N18" s="1" t="str">
        <f t="shared" si="2"/>
        <v/>
      </c>
      <c r="O18" s="1" t="str">
        <f t="shared" si="0"/>
        <v/>
      </c>
      <c r="P18" s="1" t="str">
        <f t="shared" si="1"/>
        <v/>
      </c>
    </row>
    <row r="19" spans="2:16" x14ac:dyDescent="0.45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N19" s="1" t="str">
        <f t="shared" si="2"/>
        <v/>
      </c>
      <c r="O19" s="1" t="str">
        <f t="shared" si="0"/>
        <v/>
      </c>
      <c r="P19" s="1" t="str">
        <f t="shared" si="1"/>
        <v/>
      </c>
    </row>
    <row r="20" spans="2:16" x14ac:dyDescent="0.45">
      <c r="B20" s="2"/>
      <c r="C20" s="1"/>
      <c r="D20" s="1"/>
      <c r="E20" s="1"/>
      <c r="F20" s="1"/>
      <c r="G20" s="1"/>
      <c r="H20" s="1"/>
      <c r="I20" s="1"/>
      <c r="J20" s="1"/>
      <c r="K20" s="1"/>
      <c r="L20" s="1"/>
      <c r="N20" s="1" t="str">
        <f t="shared" si="2"/>
        <v/>
      </c>
      <c r="O20" s="1" t="str">
        <f t="shared" si="0"/>
        <v/>
      </c>
      <c r="P20" s="1" t="str">
        <f t="shared" si="1"/>
        <v/>
      </c>
    </row>
    <row r="21" spans="2:16" x14ac:dyDescent="0.45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N21" s="1" t="str">
        <f t="shared" si="2"/>
        <v/>
      </c>
      <c r="O21" s="1" t="str">
        <f t="shared" si="0"/>
        <v/>
      </c>
      <c r="P21" s="1" t="str">
        <f t="shared" si="1"/>
        <v/>
      </c>
    </row>
    <row r="22" spans="2:16" x14ac:dyDescent="0.45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N22" s="1" t="str">
        <f t="shared" si="2"/>
        <v/>
      </c>
      <c r="O22" s="1" t="str">
        <f t="shared" si="0"/>
        <v/>
      </c>
      <c r="P22" s="1" t="str">
        <f t="shared" si="1"/>
        <v/>
      </c>
    </row>
    <row r="23" spans="2:16" x14ac:dyDescent="0.45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N23" s="1" t="str">
        <f t="shared" si="2"/>
        <v/>
      </c>
      <c r="O23" s="1" t="str">
        <f t="shared" si="0"/>
        <v/>
      </c>
      <c r="P23" s="1" t="str">
        <f t="shared" si="1"/>
        <v/>
      </c>
    </row>
    <row r="24" spans="2:16" x14ac:dyDescent="0.45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N24" s="1" t="str">
        <f t="shared" si="2"/>
        <v/>
      </c>
      <c r="O24" s="1" t="str">
        <f t="shared" si="0"/>
        <v/>
      </c>
      <c r="P24" s="1" t="str">
        <f t="shared" si="1"/>
        <v/>
      </c>
    </row>
    <row r="25" spans="2:16" x14ac:dyDescent="0.45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N25" s="1" t="str">
        <f t="shared" si="2"/>
        <v/>
      </c>
      <c r="O25" s="1" t="str">
        <f t="shared" si="0"/>
        <v/>
      </c>
      <c r="P25" s="1" t="str">
        <f t="shared" si="1"/>
        <v/>
      </c>
    </row>
    <row r="26" spans="2:16" x14ac:dyDescent="0.45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N26" s="1" t="str">
        <f t="shared" si="2"/>
        <v/>
      </c>
      <c r="O26" s="1" t="str">
        <f t="shared" si="0"/>
        <v/>
      </c>
      <c r="P26" s="1" t="str">
        <f t="shared" si="1"/>
        <v/>
      </c>
    </row>
    <row r="27" spans="2:16" x14ac:dyDescent="0.45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N27" s="1" t="str">
        <f t="shared" si="2"/>
        <v/>
      </c>
      <c r="O27" s="1" t="str">
        <f t="shared" si="0"/>
        <v/>
      </c>
      <c r="P27" s="1" t="str">
        <f t="shared" si="1"/>
        <v/>
      </c>
    </row>
    <row r="28" spans="2:16" x14ac:dyDescent="0.45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N28" s="1" t="str">
        <f t="shared" si="2"/>
        <v/>
      </c>
      <c r="O28" s="1" t="str">
        <f t="shared" si="0"/>
        <v/>
      </c>
      <c r="P28" s="1" t="str">
        <f t="shared" si="1"/>
        <v/>
      </c>
    </row>
    <row r="29" spans="2:16" x14ac:dyDescent="0.45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N29" s="1" t="str">
        <f t="shared" si="2"/>
        <v/>
      </c>
      <c r="O29" s="1" t="str">
        <f t="shared" si="0"/>
        <v/>
      </c>
      <c r="P29" s="1" t="str">
        <f t="shared" si="1"/>
        <v/>
      </c>
    </row>
    <row r="30" spans="2:16" x14ac:dyDescent="0.45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N30" s="1" t="str">
        <f t="shared" si="2"/>
        <v/>
      </c>
      <c r="O30" s="1" t="str">
        <f t="shared" si="0"/>
        <v/>
      </c>
      <c r="P30" s="1" t="str">
        <f t="shared" si="1"/>
        <v/>
      </c>
    </row>
    <row r="31" spans="2:16" x14ac:dyDescent="0.45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N31" s="1" t="str">
        <f t="shared" si="2"/>
        <v/>
      </c>
      <c r="O31" s="1" t="str">
        <f t="shared" si="0"/>
        <v/>
      </c>
      <c r="P31" s="1" t="str">
        <f t="shared" si="1"/>
        <v/>
      </c>
    </row>
    <row r="32" spans="2:16" x14ac:dyDescent="0.45">
      <c r="B32" s="2"/>
      <c r="C32" s="1"/>
      <c r="D32" s="1"/>
      <c r="E32" s="1"/>
      <c r="F32" s="1"/>
      <c r="G32" s="1"/>
      <c r="H32" s="1"/>
      <c r="I32" s="1"/>
      <c r="J32" s="1"/>
      <c r="K32" s="1"/>
      <c r="L32" s="1"/>
      <c r="N32" s="1" t="str">
        <f t="shared" si="2"/>
        <v/>
      </c>
      <c r="O32" s="1" t="str">
        <f t="shared" si="0"/>
        <v/>
      </c>
      <c r="P32" s="1" t="str">
        <f t="shared" si="1"/>
        <v/>
      </c>
    </row>
    <row r="33" spans="2:16" x14ac:dyDescent="0.45"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N33" s="1" t="str">
        <f t="shared" si="2"/>
        <v/>
      </c>
      <c r="O33" s="1" t="str">
        <f t="shared" si="0"/>
        <v/>
      </c>
      <c r="P33" s="1" t="str">
        <f t="shared" si="1"/>
        <v/>
      </c>
    </row>
    <row r="34" spans="2:16" x14ac:dyDescent="0.45"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  <c r="N34" s="1" t="str">
        <f t="shared" si="2"/>
        <v/>
      </c>
      <c r="O34" s="1" t="str">
        <f t="shared" si="0"/>
        <v/>
      </c>
      <c r="P34" s="1" t="str">
        <f t="shared" si="1"/>
        <v/>
      </c>
    </row>
    <row r="35" spans="2:16" x14ac:dyDescent="0.45">
      <c r="B35" s="2"/>
      <c r="C35" s="1"/>
      <c r="D35" s="1"/>
      <c r="E35" s="1"/>
      <c r="F35" s="1"/>
      <c r="G35" s="1"/>
      <c r="H35" s="1"/>
      <c r="I35" s="1"/>
      <c r="J35" s="1"/>
      <c r="K35" s="1"/>
      <c r="L35" s="1"/>
      <c r="N35" s="1" t="str">
        <f t="shared" si="2"/>
        <v/>
      </c>
      <c r="O35" s="1" t="str">
        <f t="shared" si="0"/>
        <v/>
      </c>
      <c r="P35" s="1" t="str">
        <f t="shared" si="1"/>
        <v/>
      </c>
    </row>
    <row r="36" spans="2:16" x14ac:dyDescent="0.45">
      <c r="B36" s="2"/>
      <c r="C36" s="1"/>
      <c r="D36" s="1"/>
      <c r="E36" s="1"/>
      <c r="F36" s="1"/>
      <c r="G36" s="1"/>
      <c r="H36" s="1"/>
      <c r="I36" s="1"/>
      <c r="J36" s="1"/>
      <c r="K36" s="1"/>
      <c r="L36" s="1"/>
      <c r="N36" s="1" t="str">
        <f t="shared" si="2"/>
        <v/>
      </c>
      <c r="O36" s="1" t="str">
        <f t="shared" si="0"/>
        <v/>
      </c>
      <c r="P36" s="1" t="str">
        <f t="shared" si="1"/>
        <v/>
      </c>
    </row>
  </sheetData>
  <dataConsolidate/>
  <phoneticPr fontId="1"/>
  <conditionalFormatting sqref="E1">
    <cfRule type="cellIs" dxfId="0" priority="1" operator="greaterThanOrEqual">
      <formula>65534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C4F40-26C2-452A-814C-2C29DD2DA2C6}">
  <sheetPr codeName="Sheet5">
    <tabColor theme="8" tint="0.59999389629810485"/>
  </sheetPr>
  <dimension ref="A1:F21"/>
  <sheetViews>
    <sheetView workbookViewId="0">
      <pane ySplit="3" topLeftCell="A4" activePane="bottomLeft" state="frozen"/>
      <selection activeCell="I22" sqref="I22"/>
      <selection pane="bottomLeft"/>
    </sheetView>
  </sheetViews>
  <sheetFormatPr defaultColWidth="9" defaultRowHeight="18" x14ac:dyDescent="0.45"/>
  <cols>
    <col min="1" max="1" width="8.796875" customWidth="1"/>
    <col min="2" max="2" width="5.69921875" bestFit="1" customWidth="1"/>
    <col min="3" max="3" width="12.59765625" style="7" bestFit="1" customWidth="1"/>
    <col min="4" max="4" width="10.796875" style="7" bestFit="1" customWidth="1"/>
    <col min="5" max="5" width="12.5" style="7" bestFit="1" customWidth="1"/>
    <col min="6" max="6" width="12.59765625" style="7" bestFit="1" customWidth="1"/>
    <col min="7" max="16384" width="9" style="7"/>
  </cols>
  <sheetData>
    <row r="1" spans="1:6" x14ac:dyDescent="0.45">
      <c r="A1" t="s">
        <v>3</v>
      </c>
    </row>
    <row r="2" spans="1:6" x14ac:dyDescent="0.45">
      <c r="B2">
        <f>SUBTOTAL(3,B4:B1048576)</f>
        <v>18</v>
      </c>
    </row>
    <row r="3" spans="1:6" x14ac:dyDescent="0.45">
      <c r="B3" s="1" t="s">
        <v>0</v>
      </c>
      <c r="C3" s="11" t="s">
        <v>35</v>
      </c>
      <c r="D3" s="11" t="s">
        <v>40</v>
      </c>
      <c r="E3" s="11" t="s">
        <v>46</v>
      </c>
      <c r="F3" s="13" t="s">
        <v>10</v>
      </c>
    </row>
    <row r="4" spans="1:6" x14ac:dyDescent="0.45">
      <c r="B4" s="12">
        <v>1</v>
      </c>
      <c r="C4" s="9" t="s">
        <v>37</v>
      </c>
      <c r="D4" s="9" t="s">
        <v>41</v>
      </c>
      <c r="E4" s="9" t="s">
        <v>47</v>
      </c>
      <c r="F4" s="9" t="s">
        <v>52</v>
      </c>
    </row>
    <row r="5" spans="1:6" x14ac:dyDescent="0.45">
      <c r="B5" s="12">
        <v>2</v>
      </c>
      <c r="C5" s="9" t="s">
        <v>37</v>
      </c>
      <c r="D5" s="9" t="s">
        <v>41</v>
      </c>
      <c r="E5" s="9" t="s">
        <v>48</v>
      </c>
      <c r="F5" s="9" t="s">
        <v>53</v>
      </c>
    </row>
    <row r="6" spans="1:6" x14ac:dyDescent="0.45">
      <c r="B6" s="12">
        <v>3</v>
      </c>
      <c r="C6" s="9" t="s">
        <v>37</v>
      </c>
      <c r="D6" s="9" t="s">
        <v>43</v>
      </c>
      <c r="E6" s="9" t="s">
        <v>47</v>
      </c>
      <c r="F6" s="9" t="s">
        <v>52</v>
      </c>
    </row>
    <row r="7" spans="1:6" x14ac:dyDescent="0.45">
      <c r="B7" s="12">
        <v>4</v>
      </c>
      <c r="C7" s="9" t="s">
        <v>37</v>
      </c>
      <c r="D7" s="9" t="s">
        <v>43</v>
      </c>
      <c r="E7" s="9" t="s">
        <v>48</v>
      </c>
      <c r="F7" s="9" t="s">
        <v>53</v>
      </c>
    </row>
    <row r="8" spans="1:6" x14ac:dyDescent="0.45">
      <c r="B8" s="12">
        <v>5</v>
      </c>
      <c r="C8" s="9" t="s">
        <v>37</v>
      </c>
      <c r="D8" s="9" t="s">
        <v>44</v>
      </c>
      <c r="E8" s="9" t="s">
        <v>47</v>
      </c>
      <c r="F8" s="9" t="s">
        <v>52</v>
      </c>
    </row>
    <row r="9" spans="1:6" x14ac:dyDescent="0.45">
      <c r="B9" s="12">
        <v>6</v>
      </c>
      <c r="C9" s="9" t="s">
        <v>37</v>
      </c>
      <c r="D9" s="9" t="s">
        <v>44</v>
      </c>
      <c r="E9" s="9" t="s">
        <v>48</v>
      </c>
      <c r="F9" s="9" t="s">
        <v>53</v>
      </c>
    </row>
    <row r="10" spans="1:6" x14ac:dyDescent="0.45">
      <c r="B10" s="12">
        <v>7</v>
      </c>
      <c r="C10" s="9" t="s">
        <v>38</v>
      </c>
      <c r="D10" s="9" t="s">
        <v>41</v>
      </c>
      <c r="E10" s="9" t="s">
        <v>47</v>
      </c>
      <c r="F10" s="9" t="s">
        <v>50</v>
      </c>
    </row>
    <row r="11" spans="1:6" x14ac:dyDescent="0.45">
      <c r="B11" s="12">
        <v>8</v>
      </c>
      <c r="C11" s="9" t="s">
        <v>38</v>
      </c>
      <c r="D11" s="9" t="s">
        <v>41</v>
      </c>
      <c r="E11" s="9" t="s">
        <v>48</v>
      </c>
      <c r="F11" s="9" t="s">
        <v>51</v>
      </c>
    </row>
    <row r="12" spans="1:6" x14ac:dyDescent="0.45">
      <c r="B12" s="12">
        <v>9</v>
      </c>
      <c r="C12" s="9" t="s">
        <v>38</v>
      </c>
      <c r="D12" s="9" t="s">
        <v>43</v>
      </c>
      <c r="E12" s="9" t="s">
        <v>47</v>
      </c>
      <c r="F12" s="9" t="s">
        <v>50</v>
      </c>
    </row>
    <row r="13" spans="1:6" x14ac:dyDescent="0.45">
      <c r="B13" s="12">
        <v>10</v>
      </c>
      <c r="C13" s="9" t="s">
        <v>38</v>
      </c>
      <c r="D13" s="9" t="s">
        <v>43</v>
      </c>
      <c r="E13" s="9" t="s">
        <v>48</v>
      </c>
      <c r="F13" s="9" t="s">
        <v>51</v>
      </c>
    </row>
    <row r="14" spans="1:6" x14ac:dyDescent="0.45">
      <c r="B14" s="12">
        <v>11</v>
      </c>
      <c r="C14" s="9" t="s">
        <v>38</v>
      </c>
      <c r="D14" s="9" t="s">
        <v>44</v>
      </c>
      <c r="E14" s="9" t="s">
        <v>47</v>
      </c>
      <c r="F14" s="9" t="s">
        <v>50</v>
      </c>
    </row>
    <row r="15" spans="1:6" x14ac:dyDescent="0.45">
      <c r="B15" s="12">
        <v>12</v>
      </c>
      <c r="C15" s="9" t="s">
        <v>38</v>
      </c>
      <c r="D15" s="9" t="s">
        <v>44</v>
      </c>
      <c r="E15" s="9" t="s">
        <v>48</v>
      </c>
      <c r="F15" s="9" t="s">
        <v>51</v>
      </c>
    </row>
    <row r="16" spans="1:6" x14ac:dyDescent="0.45">
      <c r="B16" s="12">
        <v>13</v>
      </c>
      <c r="C16" s="9" t="s">
        <v>39</v>
      </c>
      <c r="D16" s="9" t="s">
        <v>41</v>
      </c>
      <c r="E16" s="9" t="s">
        <v>47</v>
      </c>
      <c r="F16" s="9" t="s">
        <v>52</v>
      </c>
    </row>
    <row r="17" spans="2:6" x14ac:dyDescent="0.45">
      <c r="B17" s="12">
        <v>14</v>
      </c>
      <c r="C17" s="9" t="s">
        <v>39</v>
      </c>
      <c r="D17" s="9" t="s">
        <v>41</v>
      </c>
      <c r="E17" s="9" t="s">
        <v>48</v>
      </c>
      <c r="F17" s="9" t="s">
        <v>53</v>
      </c>
    </row>
    <row r="18" spans="2:6" x14ac:dyDescent="0.45">
      <c r="B18" s="12">
        <v>15</v>
      </c>
      <c r="C18" s="9" t="s">
        <v>39</v>
      </c>
      <c r="D18" s="9" t="s">
        <v>43</v>
      </c>
      <c r="E18" s="9" t="s">
        <v>47</v>
      </c>
      <c r="F18" s="9" t="s">
        <v>52</v>
      </c>
    </row>
    <row r="19" spans="2:6" x14ac:dyDescent="0.45">
      <c r="B19" s="12">
        <v>16</v>
      </c>
      <c r="C19" s="9" t="s">
        <v>39</v>
      </c>
      <c r="D19" s="9" t="s">
        <v>43</v>
      </c>
      <c r="E19" s="9" t="s">
        <v>48</v>
      </c>
      <c r="F19" s="9" t="s">
        <v>53</v>
      </c>
    </row>
    <row r="20" spans="2:6" x14ac:dyDescent="0.45">
      <c r="B20" s="12">
        <v>17</v>
      </c>
      <c r="C20" s="9" t="s">
        <v>39</v>
      </c>
      <c r="D20" s="9" t="s">
        <v>44</v>
      </c>
      <c r="E20" s="9" t="s">
        <v>47</v>
      </c>
      <c r="F20" s="9" t="s">
        <v>52</v>
      </c>
    </row>
    <row r="21" spans="2:6" x14ac:dyDescent="0.45">
      <c r="B21" s="12">
        <v>18</v>
      </c>
      <c r="C21" s="9" t="s">
        <v>39</v>
      </c>
      <c r="D21" s="9" t="s">
        <v>44</v>
      </c>
      <c r="E21" s="9" t="s">
        <v>48</v>
      </c>
      <c r="F21" s="9" t="s">
        <v>53</v>
      </c>
    </row>
  </sheetData>
  <autoFilter ref="B3:F21" xr:uid="{06047097-3E96-4244-B4E9-9A0FD3B31CCB}"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3D7D8-0A1A-40A7-A489-28464E8016B5}">
  <sheetPr codeName="Sheet2">
    <tabColor theme="1"/>
  </sheetPr>
  <dimension ref="A1:B3"/>
  <sheetViews>
    <sheetView workbookViewId="0">
      <pane ySplit="3" topLeftCell="A4" activePane="bottomLeft" state="frozen"/>
      <selection pane="bottomLeft"/>
    </sheetView>
  </sheetViews>
  <sheetFormatPr defaultColWidth="9" defaultRowHeight="18" x14ac:dyDescent="0.45"/>
  <cols>
    <col min="1" max="2" width="8.796875" customWidth="1"/>
    <col min="3" max="16384" width="9" style="7"/>
  </cols>
  <sheetData>
    <row r="1" spans="1:2" x14ac:dyDescent="0.45">
      <c r="A1" t="s">
        <v>3</v>
      </c>
    </row>
    <row r="3" spans="1:2" x14ac:dyDescent="0.45">
      <c r="B3" s="1" t="s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31</vt:i4>
      </vt:variant>
    </vt:vector>
  </HeadingPairs>
  <TitlesOfParts>
    <vt:vector size="36" baseType="lpstr">
      <vt:lpstr>使い方</vt:lpstr>
      <vt:lpstr>HOME</vt:lpstr>
      <vt:lpstr>HOME (サンプル)</vt:lpstr>
      <vt:lpstr>マトリクス （作成後サンプル）</vt:lpstr>
      <vt:lpstr>マトリクス_雛形</vt:lpstr>
      <vt:lpstr>HOME!項目1</vt:lpstr>
      <vt:lpstr>項目10</vt:lpstr>
      <vt:lpstr>項目11</vt:lpstr>
      <vt:lpstr>項目12</vt:lpstr>
      <vt:lpstr>項目13</vt:lpstr>
      <vt:lpstr>項目14</vt:lpstr>
      <vt:lpstr>項目15</vt:lpstr>
      <vt:lpstr>項目16</vt:lpstr>
      <vt:lpstr>項目17</vt:lpstr>
      <vt:lpstr>項目18</vt:lpstr>
      <vt:lpstr>項目19</vt:lpstr>
      <vt:lpstr>項目2</vt:lpstr>
      <vt:lpstr>項目20</vt:lpstr>
      <vt:lpstr>項目21</vt:lpstr>
      <vt:lpstr>項目22</vt:lpstr>
      <vt:lpstr>項目23</vt:lpstr>
      <vt:lpstr>項目24</vt:lpstr>
      <vt:lpstr>項目25</vt:lpstr>
      <vt:lpstr>項目26</vt:lpstr>
      <vt:lpstr>項目27</vt:lpstr>
      <vt:lpstr>項目28</vt:lpstr>
      <vt:lpstr>項目29</vt:lpstr>
      <vt:lpstr>項目3</vt:lpstr>
      <vt:lpstr>項目30</vt:lpstr>
      <vt:lpstr>項目4</vt:lpstr>
      <vt:lpstr>項目5</vt:lpstr>
      <vt:lpstr>項目6</vt:lpstr>
      <vt:lpstr>項目7</vt:lpstr>
      <vt:lpstr>項目8</vt:lpstr>
      <vt:lpstr>項目9</vt:lpstr>
      <vt:lpstr>数値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2022-09-01T01:29:15Z</dcterms:created>
  <dcterms:modified xsi:type="dcterms:W3CDTF">2022-12-20T14:59:12Z</dcterms:modified>
</cp:coreProperties>
</file>